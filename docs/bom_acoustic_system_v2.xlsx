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ецифікація" sheetId="1" state="visible" r:id="rId3"/>
    <sheet name="Примітки та альтернативи" sheetId="2" state="visible" r:id="rId4"/>
    <sheet name="Контекст проекту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<sst xmlns="http://schemas.openxmlformats.org/spreadsheetml/2006/main" count="228" uniqueCount="225">
  <si>
    <t xml:space="preserve">СПЕЦИФІКАЦІЯ КОМПЛЕКТУЮЧИХ — АКУСТИЧНА РОЗВІДУВАЛЬНА СИСТЕМА</t>
  </si>
  <si>
    <t xml:space="preserve">Тестова конфігурація: 2 автономні станції + базова станція (Raspberry Pi 4)</t>
  </si>
  <si>
    <t xml:space="preserve">#</t>
  </si>
  <si>
    <t xml:space="preserve">Компонент</t>
  </si>
  <si>
    <t xml:space="preserve">Модель / Специфікація</t>
  </si>
  <si>
    <t xml:space="preserve">К-сть</t>
  </si>
  <si>
    <t xml:space="preserve">Ціна за од. ($)</t>
  </si>
  <si>
    <t xml:space="preserve">Сума ($)</t>
  </si>
  <si>
    <t xml:space="preserve">Пошуковий запит AliExpress</t>
  </si>
  <si>
    <t xml:space="preserve">Примітки</t>
  </si>
  <si>
    <t xml:space="preserve">АВТОНОМНІ СТАНЦІЇ (×2)</t>
  </si>
  <si>
    <t xml:space="preserve">Мікроконтролер</t>
  </si>
  <si>
    <t xml:space="preserve">ESP32-S3-DevKitC-1 N8R8
(8МБ Flash + 8МБ PSRAM, dual-core 240МГц)</t>
  </si>
  <si>
    <t xml:space="preserve">ESP32-S3-DevKitC-1 N8R8</t>
  </si>
  <si>
    <t xml:space="preserve">Офіційний магазин Espressif на AliExpress. N8R8 = обов'язково!</t>
  </si>
  <si>
    <t xml:space="preserve">Мікрофон MEMS I2S</t>
  </si>
  <si>
    <t xml:space="preserve">INMP441 I2S модуль
(60Гц–15кГц, SNR 61дБА, 3.3В)</t>
  </si>
  <si>
    <t xml:space="preserve">INMP441 I2S microphone module</t>
  </si>
  <si>
    <t xml:space="preserve">По 4 шт. на станцію. Брати модулі з платою, не голий чіп</t>
  </si>
  <si>
    <t xml:space="preserve">LoRa радіомодуль</t>
  </si>
  <si>
    <t xml:space="preserve">Ra-02 SX1278 433МГц
(до 20дБм, дальність 2-5км)</t>
  </si>
  <si>
    <t xml:space="preserve">Ra-02 SX1278 433MHz LoRa module</t>
  </si>
  <si>
    <t xml:space="preserve">УВАГА: перевір 433МГц, не 868МГц!</t>
  </si>
  <si>
    <t xml:space="preserve">2.4ГГц модуль (аудіо)</t>
  </si>
  <si>
    <t xml:space="preserve">nRF24L01+ PA+LNA з антеною
(до 2Мбіт/с, дальність ~800м)</t>
  </si>
  <si>
    <t xml:space="preserve">nRF24L01 PA LNA SMA antenna</t>
  </si>
  <si>
    <t xml:space="preserve">Версія з підсилювачем PA+LNA обов'язково</t>
  </si>
  <si>
    <t xml:space="preserve">Акумулятор LiFePO4</t>
  </si>
  <si>
    <t xml:space="preserve">26650 LiFePO4 5000мА·год 3.2В
(Lishen / CATL / EVE бренд)</t>
  </si>
  <si>
    <t xml:space="preserve">LiFePO4 26650 5000mAh Lishen</t>
  </si>
  <si>
    <t xml:space="preserve">По 2 паралельно на станцію = 10А·год, ~18 діб автономності</t>
  </si>
  <si>
    <t xml:space="preserve">BMS модуль</t>
  </si>
  <si>
    <t xml:space="preserve">1S BMS LiFePO4 3.2В захист
(захист від перезаряду/переразряду)</t>
  </si>
  <si>
    <t xml:space="preserve">1S BMS LiFePO4 3.2V protection board</t>
  </si>
  <si>
    <t xml:space="preserve">Перевір струм захисту — мін. 3А</t>
  </si>
  <si>
    <t xml:space="preserve">TCXO генератор</t>
  </si>
  <si>
    <t xml:space="preserve">TXC 7X-25.000MBB або аналог
(±0.5ppm, дрейф ~1.5мкс/год)</t>
  </si>
  <si>
    <t xml:space="preserve">TCXO 25MHz 0.5ppm oscillator module</t>
  </si>
  <si>
    <t xml:space="preserve">Критично для TDOA синхронізації без GPS</t>
  </si>
  <si>
    <t xml:space="preserve">DC-DC стабілізатор</t>
  </si>
  <si>
    <t xml:space="preserve">TPS62840 або аналог 3.3В
(ККД &gt;90% при малих струмах)</t>
  </si>
  <si>
    <t xml:space="preserve">TPS62840 DC-DC 3.3V step-down module</t>
  </si>
  <si>
    <t xml:space="preserve">Можна брати готовий модуль на базі TPS62xxx</t>
  </si>
  <si>
    <t xml:space="preserve">Антена LoRa 433МГц</t>
  </si>
  <si>
    <t xml:space="preserve">433МГц штирова антена SMA
(2-3dBi)</t>
  </si>
  <si>
    <t xml:space="preserve">433MHz antenna SMA 3dBi</t>
  </si>
  <si>
    <t xml:space="preserve">Відповідно до роз'єму Ra-02</t>
  </si>
  <si>
    <t xml:space="preserve">БАЗОВА СТАНЦІЯ / СП (×1)</t>
  </si>
  <si>
    <t xml:space="preserve">Одноплатний комп'ютер</t>
  </si>
  <si>
    <t xml:space="preserve">Raspberry Pi 4 Model B 4ГБ
(або Orange Pi 5 як альтернатива)</t>
  </si>
  <si>
    <t xml:space="preserve">Raspberry Pi 4 4GB</t>
  </si>
  <si>
    <t xml:space="preserve">Orange Pi 5 — альтернатива якщо RPi4 недоступний</t>
  </si>
  <si>
    <t xml:space="preserve">LoRa Gateway HAT</t>
  </si>
  <si>
    <t xml:space="preserve">RAK2245 Pi HAT SX1301
(8 каналів одночасно, 433/868МГц)</t>
  </si>
  <si>
    <t xml:space="preserve">RAK2245 Pi HAT LoRa gateway 433MHz</t>
  </si>
  <si>
    <t xml:space="preserve">Альтернатива: RAK831 або SX1276 breakout + ESP32</t>
  </si>
  <si>
    <t xml:space="preserve">2.4ГГц прийом аудіо</t>
  </si>
  <si>
    <t xml:space="preserve">ESP32 DevKit або nRF52840
(прийом аудіофрагментів від станцій)</t>
  </si>
  <si>
    <t xml:space="preserve">ESP32 DevKitC WROOM-32</t>
  </si>
  <si>
    <t xml:space="preserve">Окремий модуль для прийому аудіо каналу</t>
  </si>
  <si>
    <t xml:space="preserve">USB аудіоінтерфейс</t>
  </si>
  <si>
    <t xml:space="preserve">Мікрофон СП — USB аудіо модуль
(для запису на базовій станції)</t>
  </si>
  <si>
    <t xml:space="preserve">USB audio interface microphone adapter</t>
  </si>
  <si>
    <t xml:space="preserve">Або будь-який USB мікрофон з прийнятним SNR</t>
  </si>
  <si>
    <t xml:space="preserve">MicroSD карта</t>
  </si>
  <si>
    <t xml:space="preserve">32ГБ Class 10 / A1
(для ОС і логів)</t>
  </si>
  <si>
    <t xml:space="preserve">microSD 32GB Class 10 A1</t>
  </si>
  <si>
    <t xml:space="preserve">Samsung або SanDisk — надійніші</t>
  </si>
  <si>
    <t xml:space="preserve">Корпус Raspberry Pi</t>
  </si>
  <si>
    <t xml:space="preserve">Корпус з охолодженням для RPi4</t>
  </si>
  <si>
    <t xml:space="preserve">Raspberry Pi 4 case with fan</t>
  </si>
  <si>
    <t xml:space="preserve">З вентилятором — RPi4 гріється</t>
  </si>
  <si>
    <t xml:space="preserve">МОНТАЖ ТА З'ЄДНАННЯ</t>
  </si>
  <si>
    <t xml:space="preserve">Макетні плати</t>
  </si>
  <si>
    <t xml:space="preserve">Prototype PCB двостороння
(для монтажу компонентів станції)</t>
  </si>
  <si>
    <t xml:space="preserve">double sided prototype PCB 7x9cm</t>
  </si>
  <si>
    <t xml:space="preserve">По 2 плати на станцію</t>
  </si>
  <si>
    <t xml:space="preserve">Дроти та роз'єми</t>
  </si>
  <si>
    <t xml:space="preserve">Dupont дроти + JST роз'єми
(для з'єднань всередині станції)</t>
  </si>
  <si>
    <t xml:space="preserve">Dupont wire jumper JST connector kit</t>
  </si>
  <si>
    <t xml:space="preserve">Набір різних довжин і типів</t>
  </si>
  <si>
    <t xml:space="preserve">Корпус вуличний IP65</t>
  </si>
  <si>
    <t xml:space="preserve">Пластиковий корпус IP65
(для захисту від вологи і пилу)</t>
  </si>
  <si>
    <t xml:space="preserve">IP65 waterproof junction box 150x100mm</t>
  </si>
  <si>
    <t xml:space="preserve">Розмір ~150×100×70мм мінімум</t>
  </si>
  <si>
    <t xml:space="preserve">Кабельні вводи</t>
  </si>
  <si>
    <t xml:space="preserve">PG7 / PG9 кабельні вводи
(для герметичного введення проводів)</t>
  </si>
  <si>
    <t xml:space="preserve">PG7 cable gland waterproof</t>
  </si>
  <si>
    <t xml:space="preserve">По 3 на корпус станції</t>
  </si>
  <si>
    <t xml:space="preserve">Вітрозахисна насадка</t>
  </si>
  <si>
    <t xml:space="preserve">Поролонова насадка для мікрофона
(зменшення вітрового шуму)</t>
  </si>
  <si>
    <t xml:space="preserve">microphone windscreen foam cover</t>
  </si>
  <si>
    <t xml:space="preserve">Критично для вуличного використання</t>
  </si>
  <si>
    <t xml:space="preserve">РАЗОМ (орієнтовно, без доставки)</t>
  </si>
  <si>
    <t xml:space="preserve">* Ціни орієнтовні, AliExpress. Доставка ~$5-15 окремо.</t>
  </si>
  <si>
    <t xml:space="preserve">КОМПОНЕНТ</t>
  </si>
  <si>
    <t xml:space="preserve">ОСНОВНИЙ ВИБІР</t>
  </si>
  <si>
    <t xml:space="preserve">АЛЬТЕРНАТИВА</t>
  </si>
  <si>
    <t xml:space="preserve">КОМЕНТАР</t>
  </si>
  <si>
    <t xml:space="preserve">STM32H743 (для фінальної версії)</t>
  </si>
  <si>
    <t xml:space="preserve">ESP32-S3 для прототипу, STM32 дає кращу енергетику</t>
  </si>
  <si>
    <t xml:space="preserve">Мікрофон</t>
  </si>
  <si>
    <t xml:space="preserve">INMP441 модуль</t>
  </si>
  <si>
    <t xml:space="preserve">ICS-43434 або SPH0645LM4H-B</t>
  </si>
  <si>
    <t xml:space="preserve">ICS-43434 має кращу фазову узгодженість ±0.5°</t>
  </si>
  <si>
    <t xml:space="preserve">LoRa модуль</t>
  </si>
  <si>
    <t xml:space="preserve">Ra-02 SX1278 433МГц</t>
  </si>
  <si>
    <t xml:space="preserve">LLCC68 або RFM95W</t>
  </si>
  <si>
    <t xml:space="preserve">Перевіряй частоту при замовленні!</t>
  </si>
  <si>
    <t xml:space="preserve">2.4ГГц аудіо</t>
  </si>
  <si>
    <t xml:space="preserve">nRF24L01+ PA+LNA</t>
  </si>
  <si>
    <t xml:space="preserve">ESP32 у режимі WiFi AP</t>
  </si>
  <si>
    <t xml:space="preserve">ESP32 простіший але більше споживає</t>
  </si>
  <si>
    <t xml:space="preserve">Одноплатний ПК</t>
  </si>
  <si>
    <t xml:space="preserve">Raspberry Pi 4 4ГБ</t>
  </si>
  <si>
    <t xml:space="preserve">Orange Pi 5 / Rock Pi 4</t>
  </si>
  <si>
    <t xml:space="preserve">Orange Pi 5 дешевший і доступніший</t>
  </si>
  <si>
    <t xml:space="preserve">LoRa Gateway</t>
  </si>
  <si>
    <t xml:space="preserve">RAK2245 Pi HAT</t>
  </si>
  <si>
    <t xml:space="preserve">RAK831 або SX1276 + ESP32</t>
  </si>
  <si>
    <t xml:space="preserve">RAK2245 може бути відсутній — мати альтернативу</t>
  </si>
  <si>
    <t xml:space="preserve">Акумулятор</t>
  </si>
  <si>
    <t xml:space="preserve">LiFePO4 26650 Lishen/CATL</t>
  </si>
  <si>
    <t xml:space="preserve">EVE LiFePO4 26650</t>
  </si>
  <si>
    <t xml:space="preserve">Уникати no-name — завищена ємність</t>
  </si>
  <si>
    <t xml:space="preserve">Корпус</t>
  </si>
  <si>
    <t xml:space="preserve">IP65 пластик 150×100мм</t>
  </si>
  <si>
    <t xml:space="preserve">IP67 алюміній</t>
  </si>
  <si>
    <t xml:space="preserve">Алюміній краще для EMI але дорожчий</t>
  </si>
  <si>
    <t xml:space="preserve">АКУСТИЧНА РОЗВІДУВАЛЬНА СИСТЕМА — КОНТЕКСТ ПРОЕКТУ</t>
  </si>
  <si>
    <t xml:space="preserve">Документ для відновлення контексту розробки. Вставити на початку нової сесії з Claude.</t>
  </si>
  <si>
    <t xml:space="preserve">1. КОНЦЕПЦІЯ СИСТЕМИ</t>
  </si>
  <si>
    <t xml:space="preserve">Призначення</t>
  </si>
  <si>
    <t xml:space="preserve">Акустична розвідка для спостережного пункту (СП) у польових умовах.
Визначення джерела, напрямку і характеру звуку в реальному часі.</t>
  </si>
  <si>
    <t xml:space="preserve">Принцип роботи</t>
  </si>
  <si>
    <t xml:space="preserve">Мережа автономних акустичних станцій збирає звук, обчислює TDOA (різниця часу надходження між мікрофонами), передає метадані на СП. Сервер тріангулює точну позицію джерела звуку і класифікує його (людина / тварина / транспорт).</t>
  </si>
  <si>
    <t xml:space="preserve">Радіус покриття</t>
  </si>
  <si>
    <t xml:space="preserve">До 3-5 км від сервера. Відстань між станціями — до 500м.</t>
  </si>
  <si>
    <t xml:space="preserve">Час реакції</t>
  </si>
  <si>
    <t xml:space="preserve">Одиниці секунд — прийнятно.</t>
  </si>
  <si>
    <t xml:space="preserve">2. АРХІТЕКТУРА</t>
  </si>
  <si>
    <t xml:space="preserve">Топологія мережі</t>
  </si>
  <si>
    <t xml:space="preserve">Mesh — кожна станція є і сенсором, і ретранслятором. Немає єдиної точки відмови. При виході станції з ладу мережа перебудовується автоматично.</t>
  </si>
  <si>
    <t xml:space="preserve">Два радіоканали</t>
  </si>
  <si>
    <t xml:space="preserve">LoRa (433МГц, FHSS): метадані подій, керуючі команди, синхронізація — завжди активний, мінімальна радіопомітність.
2.4ГГц (nRF24L01 PA+LNA): аудіофрагменти — вмикається тільки за запитом СП на 15-20 сек.</t>
  </si>
  <si>
    <t xml:space="preserve">Передача аудіо</t>
  </si>
  <si>
    <t xml:space="preserve">За запитом з СП. Станція має кільцевий буфер 10-15 сек (pre+post trigger). Сервер отримує метадані від всіх станцій → обирає 1-2 з найкращим SNR → надсилає запит → станція вмикає 2.4ГГц передавач і відправляє стиснений фрагмент (Opus, 16кГц mono, ~32кбіт/с).</t>
  </si>
  <si>
    <t xml:space="preserve">Мікрофон на СП</t>
  </si>
  <si>
    <t xml:space="preserve">СП має власний USB мікрофон як нульова станція. Якщо подія близько (~200-500м) — аудіо є без запиту до станцій.</t>
  </si>
  <si>
    <t xml:space="preserve">3D локалізація</t>
  </si>
  <si>
    <t xml:space="preserve">Тетраедральний масив 4 мікрофонів на кожній станції дає 3D напрямок (азимут + елевація). Розташування: 1 мікрофон вгору, 3 горизонтально під 120°. Сервер тріангулює позицію методами Bearing Intersection + TDOA між станціями.</t>
  </si>
  <si>
    <t xml:space="preserve">3. АПАРАТНА ЧАСТИНА СТАНЦІЇ</t>
  </si>
  <si>
    <t xml:space="preserve">Процесор</t>
  </si>
  <si>
    <t xml:space="preserve">ESP32-S3-DevKitC-1 N8R8 (8МБ Flash + 8МБ PSRAM) — для прототипу.
STM32H743 — для фінальної версії (краща енергетика, 4× I2S шини).</t>
  </si>
  <si>
    <t xml:space="preserve">Мікрофони</t>
  </si>
  <si>
    <t xml:space="preserve">4× INMP441 I2S модуль (прототип) або ICS-43434 (фінал, фазова узгодженість ±0.5°).
Розташування тетраедральне. Вітрозахисні поролонові насадки обов'язкові.</t>
  </si>
  <si>
    <t xml:space="preserve">Синхронізація часу</t>
  </si>
  <si>
    <t xml:space="preserve">TCXO ±0.5ppm (дрейф ~1.5мкс/год) на кожній станції.
Калібрування: акустичний маяк при розгортанні + взаємна корекція між станціями по LoRa.
BEZ GPS — вразливий до РЕБ!</t>
  </si>
  <si>
    <t xml:space="preserve">Живлення</t>
  </si>
  <si>
    <t xml:space="preserve">LiFePO4 26650, 2 елементи паралельно = 10А·год @ 3.2В = 32Вт·год.
Середнє споживання ~75мВт → автономність ~18 діб (при 0°C і вище).
При -20°C: ~10-12 діб. Корпус утеплювати, підігрів при &lt;-10°C.</t>
  </si>
  <si>
    <t xml:space="preserve">Режими роботи</t>
  </si>
  <si>
    <t xml:space="preserve">Очікування (95%): мікроконтролер у light sleep, аналоговий компаратор слухає (~56мВт).
Обробка події (4%): пробудження, 4-канальний запис, GCC-PHAT TDOA, класифікація (~330мВт).
Передача LoRa (1%): пакет 30 байт кожні кілька секунд (~400мВт × 0.5 сек).</t>
  </si>
  <si>
    <t xml:space="preserve">IP65 пластик мінімум. Кабельні вводи PG7/PG9 для герметизації.
Передбачити місце для сонячної панелі (не реалізовано, але конструктивно закладено).</t>
  </si>
  <si>
    <t xml:space="preserve">4. БАЗОВА СТАНЦІЯ / СП</t>
  </si>
  <si>
    <t xml:space="preserve">Обладнання</t>
  </si>
  <si>
    <t xml:space="preserve">Raspberry Pi 4 (4ГБ) або Orange Pi 5 як альтернатива.
RAK2245 Pi HAT (SX1301, 8 каналів LoRa одночасно).
Окремий ESP32 або nRF52840 для прийому аудіо по 2.4ГГц.
USB мікрофон / аудіоінтерфейс для запису на СП.
SSD 256ГБ для логів і аудіоархіву.</t>
  </si>
  <si>
    <t xml:space="preserve">Програмна обробка</t>
  </si>
  <si>
    <t xml:space="preserve">Тріангуляція позиції (Bearing Intersection + TDOA між станціями).
Класифікація звуку нейромережею (людина / тварина / транспорт / невідомо).
Трекінг переміщення — побудова траєкторії об'єкта.
Фільтрація хибних спрацювань (дощ, вітер, птахи).
Інтерфейс оператора — карта з позиціями подій.</t>
  </si>
  <si>
    <t xml:space="preserve">Живлення СП</t>
  </si>
  <si>
    <t xml:space="preserve">12В від авто акумулятора або окремий LiFePO4 100Вт·год блок.</t>
  </si>
  <si>
    <t xml:space="preserve">5. СИНХРОНІЗАЦІЯ БЕЗ GPS (захист від РЕБ)</t>
  </si>
  <si>
    <t xml:space="preserve">Проблема</t>
  </si>
  <si>
    <t xml:space="preserve">GPS/GNSS вразливий до спуфінгу і придушення в умовах РЕБ. Втрата GPS одразу ламає TDOA між станціями.</t>
  </si>
  <si>
    <t xml:space="preserve">Рішення — акустичний маяк</t>
  </si>
  <si>
    <t xml:space="preserve">При розгортанні: пристрій з відомими координатами генерує короткий імпульс за внутрішнім годинником. Всі станції фіксують час надходження → сервер обчислює відносні затримки → калібрує годинники. GPS потрібен тільки одноразово при встановленні (один пристрій, потім вимикається).</t>
  </si>
  <si>
    <t xml:space="preserve">Рішення — взаємна корекція</t>
  </si>
  <si>
    <t xml:space="preserve">Станції обміюються мітками часу по LoRa mesh і взаємно коригують дрейф (distributed clock sync). Точність ~1-5мс — достатньо для тріангуляції на дистанціях 300-500м.</t>
  </si>
  <si>
    <t xml:space="preserve">Деградація без синхронізації</t>
  </si>
  <si>
    <t xml:space="preserve">TCXO дрейфує ~1.5мкс/год. Без корекції через 1 годину похибка позиції ~0.5м, через 24 години ~12м. Система продовжує працювати в деградованому режимі.</t>
  </si>
  <si>
    <t xml:space="preserve">Координати станцій</t>
  </si>
  <si>
    <t xml:space="preserve">Вимірюються одним GPS пристроєм послідовно при розгортанні. Вводяться в сервер вручну або передаються одноразово. Після цього GPS вимикається.</t>
  </si>
  <si>
    <t xml:space="preserve">6. ТЕСТОВА КОНФІГУРАЦІЯ (ПОТОЧНИЙ ЕТАП)</t>
  </si>
  <si>
    <t xml:space="preserve">Склад тестової системи</t>
  </si>
  <si>
    <t xml:space="preserve">2× автономні станції (ESP32-S3 + 4×INMP441 + Ra-02 LoRa + nRF24L01)
1× базова станція — Raspberry Pi 4 + RAK2245 HAT
Розміщення рівностороннім трикутником ~300м сторона.</t>
  </si>
  <si>
    <t xml:space="preserve">Що перевіряємо</t>
  </si>
  <si>
    <t xml:space="preserve">TDOA локалізація всередині станції (напрямок на джерело звуку)
Передача метаданих по LoRa
Тріангуляція між 2 станціями + СП (3 точки = мінімум для 2D)
Протокол запиту і передачі аудіофрагменту
Синхронізація часу між вузлами
Енергетика і автономність в реальних умовах</t>
  </si>
  <si>
    <t xml:space="preserve">Етапи розробки</t>
  </si>
  <si>
    <t xml:space="preserve">Етап 1: Один вузол на столі — 4-канальний запис + GCC-PHAT TDOA (1-2 тижні)
Етап 2: Зв'язок з базою — LoRa метадані + nRF24 аудіо протокол (1 тиждень)
Етап 3: Два вузли на вулиці — тріангуляція реального джерела, точність (1-2 тижні)
Етап 4: Програмна обробка на СП — карта, класифікація, інтерфейс оператора</t>
  </si>
  <si>
    <t xml:space="preserve">Поточний статус</t>
  </si>
  <si>
    <t xml:space="preserve">Закупка компонентів. Далі — Етап 1.</t>
  </si>
  <si>
    <t xml:space="preserve">7. КЛЮЧОВІ ПРИЙНЯТІ РІШЕННЯ</t>
  </si>
  <si>
    <t xml:space="preserve">Без GPS</t>
  </si>
  <si>
    <t xml:space="preserve">Виключено через вразливість до РЕБ. Синхронізація — акустичний маяк + TCXO + взаємна корекція.</t>
  </si>
  <si>
    <t xml:space="preserve">Двоканальна радіоархітектура</t>
  </si>
  <si>
    <t xml:space="preserve">LoRa для метаданих (завжди активний), 2.4ГГц тільки для аудіо за запитом (вмикається на ~15-20 сек).</t>
  </si>
  <si>
    <t xml:space="preserve">Аудіо тільки за запитом</t>
  </si>
  <si>
    <t xml:space="preserve">Станція зберігає кільцевий буфер 10-15 сек. СП обирає найкращу станцію по SNR і запитує фрагмент.</t>
  </si>
  <si>
    <t xml:space="preserve">LoRa FHSS</t>
  </si>
  <si>
    <t xml:space="preserve">Стрибки по частотах для мінімальної радіопомітності і стійкості до перешкод.</t>
  </si>
  <si>
    <t xml:space="preserve">Pre-trigger буфер</t>
  </si>
  <si>
    <t xml:space="preserve">Запис починається ДО виявлення події — найцінніша частина звуку зберігається.</t>
  </si>
  <si>
    <t xml:space="preserve">Температурна поправка</t>
  </si>
  <si>
    <t xml:space="preserve">Кожна станція передає температуру — швидкість звуку змінюється 0.6м/с на градус, при 1-2км це метри похибки.</t>
  </si>
  <si>
    <t xml:space="preserve">LiFePO4 26650</t>
  </si>
  <si>
    <t xml:space="preserve">Краща хімія для вуличних умов і морозу. Підігрів корпусу при &lt;-10°C.</t>
  </si>
  <si>
    <t xml:space="preserve">ESP32-S3 для прототипу</t>
  </si>
  <si>
    <t xml:space="preserve">STM32H743 — для фінальної версії (краща енергетика у активному режимі).</t>
  </si>
  <si>
    <t xml:space="preserve">8. СТРУКТУРА LORA ПАКЕТУ (~30 БАЙТ)</t>
  </si>
  <si>
    <t xml:space="preserve">Station ID</t>
  </si>
  <si>
    <t xml:space="preserve">2 байти — ідентифікатор станції</t>
  </si>
  <si>
    <t xml:space="preserve">Timestamp</t>
  </si>
  <si>
    <t xml:space="preserve">8 байт — мікросекунди, синхронізовано по TCXO</t>
  </si>
  <si>
    <t xml:space="preserve">TDOA між мікрофонами</t>
  </si>
  <si>
    <t xml:space="preserve">4×4 байти — попарні затримки між 4 мікрофонами</t>
  </si>
  <si>
    <t xml:space="preserve">SNR по каналах</t>
  </si>
  <si>
    <t xml:space="preserve">4×1 байт — рівень сигнал/шум кожного мікрофона</t>
  </si>
  <si>
    <t xml:space="preserve">Попередній клас події</t>
  </si>
  <si>
    <t xml:space="preserve">1 байт — людина / тварина / транспорт / невідомо</t>
  </si>
  <si>
    <t xml:space="preserve">Confidence</t>
  </si>
  <si>
    <t xml:space="preserve">1 байт — впевненість класифікації (0-100%)</t>
  </si>
  <si>
    <t xml:space="preserve">Рівень заряду</t>
  </si>
  <si>
    <t xml:space="preserve">1 байт — відсоток заряду акумулятора</t>
  </si>
  <si>
    <t xml:space="preserve">Температура</t>
  </si>
  <si>
    <t xml:space="preserve">1 байт — для корекції швидкості звуку</t>
  </si>
  <si>
    <t xml:space="preserve">Версія документу: 1.0 | Для відновлення контексту вставити цей текст на початку нової сесії з Claude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</si>
</sst>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4B5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6F0E0"/>
      </patternFill>
    </fill>
    <fill>
      <patternFill patternType="solid">
        <fgColor rgb="FF1E6B3C"/>
        <bgColor rgb="FF1F4E79"/>
      </patternFill>
    </fill>
    <fill>
      <patternFill patternType="solid">
        <fgColor rgb="FFD6F0E0"/>
        <bgColor rgb="FFD6E4F0"/>
      </patternFill>
    </fill>
    <fill>
      <patternFill patternType="solid">
        <fgColor rgb="FFC65911"/>
        <bgColor rgb="FF993300"/>
      </patternFill>
    </fill>
    <fill>
      <patternFill patternType="solid">
        <fgColor rgb="FFFCE4D6"/>
        <bgColor rgb="FFFCE4E4"/>
      </patternFill>
    </fill>
    <fill>
      <patternFill patternType="solid">
        <fgColor rgb="FFF2F2F2"/>
        <bgColor rgb="FFFCE4E4"/>
      </patternFill>
    </fill>
    <fill>
      <patternFill patternType="solid">
        <fgColor rgb="FF7B1A1A"/>
        <bgColor rgb="FF800000"/>
      </patternFill>
    </fill>
    <fill>
      <patternFill patternType="solid">
        <fgColor rgb="FFFCE4E4"/>
        <bgColor rgb="FFFCE4D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medium">
        <color rgb="FF1F4E79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F4E7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4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8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A1A"/>
      <rgbColor rgb="FF1E6B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E0"/>
      <rgbColor rgb="FFFCE4E4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32"/>
    <col collapsed="false" customWidth="true" hidden="false" outlineLevel="0" max="4" min="4" style="1" width="6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36"/>
    <col collapsed="false" customWidth="true" hidden="false" outlineLevel="0" max="8" min="8" style="1" width="2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21.75" hidden="false" customHeight="true" outlineLevel="0" collapsed="false">
      <c r="A5" s="5" t="s">
        <v>10</v>
      </c>
      <c r="B5" s="5"/>
      <c r="C5" s="5"/>
      <c r="D5" s="5"/>
      <c r="E5" s="5"/>
      <c r="F5" s="5"/>
      <c r="G5" s="5"/>
      <c r="H5" s="5"/>
    </row>
    <row r="6" customFormat="false" ht="36" hidden="false" customHeight="true" outlineLevel="0" collapsed="false">
      <c r="A6" s="6" t="n">
        <v>1</v>
      </c>
      <c r="B6" s="7" t="s">
        <v>11</v>
      </c>
      <c r="C6" s="8" t="s">
        <v>12</v>
      </c>
      <c r="D6" s="6" t="n">
        <v>2</v>
      </c>
      <c r="E6" s="9" t="n">
        <v>5</v>
      </c>
      <c r="F6" s="9" t="n">
        <f aca="false">D6*E6</f>
        <v>10</v>
      </c>
      <c r="G6" s="8" t="s">
        <v>13</v>
      </c>
      <c r="H6" s="8" t="s">
        <v>14</v>
      </c>
    </row>
    <row r="7" customFormat="false" ht="36" hidden="false" customHeight="true" outlineLevel="0" collapsed="false">
      <c r="A7" s="10" t="n">
        <v>2</v>
      </c>
      <c r="B7" s="11" t="s">
        <v>15</v>
      </c>
      <c r="C7" s="12" t="s">
        <v>16</v>
      </c>
      <c r="D7" s="10" t="n">
        <v>8</v>
      </c>
      <c r="E7" s="13" t="n">
        <v>2</v>
      </c>
      <c r="F7" s="13" t="n">
        <f aca="false">D7*E7</f>
        <v>16</v>
      </c>
      <c r="G7" s="12" t="s">
        <v>17</v>
      </c>
      <c r="H7" s="12" t="s">
        <v>18</v>
      </c>
    </row>
    <row r="8" customFormat="false" ht="36" hidden="false" customHeight="true" outlineLevel="0" collapsed="false">
      <c r="A8" s="6" t="n">
        <v>3</v>
      </c>
      <c r="B8" s="7" t="s">
        <v>19</v>
      </c>
      <c r="C8" s="8" t="s">
        <v>20</v>
      </c>
      <c r="D8" s="6" t="n">
        <v>2</v>
      </c>
      <c r="E8" s="9" t="n">
        <v>5</v>
      </c>
      <c r="F8" s="9" t="n">
        <f aca="false">D8*E8</f>
        <v>10</v>
      </c>
      <c r="G8" s="8" t="s">
        <v>21</v>
      </c>
      <c r="H8" s="8" t="s">
        <v>22</v>
      </c>
    </row>
    <row r="9" customFormat="false" ht="36" hidden="false" customHeight="true" outlineLevel="0" collapsed="false">
      <c r="A9" s="10" t="n">
        <v>4</v>
      </c>
      <c r="B9" s="11" t="s">
        <v>23</v>
      </c>
      <c r="C9" s="12" t="s">
        <v>24</v>
      </c>
      <c r="D9" s="10" t="n">
        <v>2</v>
      </c>
      <c r="E9" s="13" t="n">
        <v>3</v>
      </c>
      <c r="F9" s="13" t="n">
        <f aca="false">D9*E9</f>
        <v>6</v>
      </c>
      <c r="G9" s="12" t="s">
        <v>25</v>
      </c>
      <c r="H9" s="12" t="s">
        <v>26</v>
      </c>
    </row>
    <row r="10" customFormat="false" ht="36" hidden="false" customHeight="true" outlineLevel="0" collapsed="false">
      <c r="A10" s="6" t="n">
        <v>5</v>
      </c>
      <c r="B10" s="7" t="s">
        <v>27</v>
      </c>
      <c r="C10" s="8" t="s">
        <v>28</v>
      </c>
      <c r="D10" s="6" t="n">
        <v>4</v>
      </c>
      <c r="E10" s="9" t="n">
        <v>4</v>
      </c>
      <c r="F10" s="9" t="n">
        <f aca="false">D10*E10</f>
        <v>16</v>
      </c>
      <c r="G10" s="8" t="s">
        <v>29</v>
      </c>
      <c r="H10" s="8" t="s">
        <v>30</v>
      </c>
    </row>
    <row r="11" customFormat="false" ht="36" hidden="false" customHeight="true" outlineLevel="0" collapsed="false">
      <c r="A11" s="10" t="n">
        <v>6</v>
      </c>
      <c r="B11" s="11" t="s">
        <v>31</v>
      </c>
      <c r="C11" s="12" t="s">
        <v>32</v>
      </c>
      <c r="D11" s="10" t="n">
        <v>2</v>
      </c>
      <c r="E11" s="13" t="n">
        <v>2.5</v>
      </c>
      <c r="F11" s="13" t="n">
        <f aca="false">D11*E11</f>
        <v>5</v>
      </c>
      <c r="G11" s="12" t="s">
        <v>33</v>
      </c>
      <c r="H11" s="12" t="s">
        <v>34</v>
      </c>
    </row>
    <row r="12" customFormat="false" ht="36" hidden="false" customHeight="true" outlineLevel="0" collapsed="false">
      <c r="A12" s="6" t="n">
        <v>7</v>
      </c>
      <c r="B12" s="7" t="s">
        <v>35</v>
      </c>
      <c r="C12" s="8" t="s">
        <v>36</v>
      </c>
      <c r="D12" s="6" t="n">
        <v>2</v>
      </c>
      <c r="E12" s="9" t="n">
        <v>3</v>
      </c>
      <c r="F12" s="9" t="n">
        <f aca="false">D12*E12</f>
        <v>6</v>
      </c>
      <c r="G12" s="8" t="s">
        <v>37</v>
      </c>
      <c r="H12" s="8" t="s">
        <v>38</v>
      </c>
    </row>
    <row r="13" customFormat="false" ht="36" hidden="false" customHeight="true" outlineLevel="0" collapsed="false">
      <c r="A13" s="10" t="n">
        <v>8</v>
      </c>
      <c r="B13" s="11" t="s">
        <v>39</v>
      </c>
      <c r="C13" s="12" t="s">
        <v>40</v>
      </c>
      <c r="D13" s="10" t="n">
        <v>2</v>
      </c>
      <c r="E13" s="13" t="n">
        <v>1.5</v>
      </c>
      <c r="F13" s="13" t="n">
        <f aca="false">D13*E13</f>
        <v>3</v>
      </c>
      <c r="G13" s="12" t="s">
        <v>41</v>
      </c>
      <c r="H13" s="12" t="s">
        <v>42</v>
      </c>
    </row>
    <row r="14" customFormat="false" ht="36" hidden="false" customHeight="true" outlineLevel="0" collapsed="false">
      <c r="A14" s="6" t="n">
        <v>9</v>
      </c>
      <c r="B14" s="7" t="s">
        <v>43</v>
      </c>
      <c r="C14" s="8" t="s">
        <v>44</v>
      </c>
      <c r="D14" s="6" t="n">
        <v>2</v>
      </c>
      <c r="E14" s="9" t="n">
        <v>1.5</v>
      </c>
      <c r="F14" s="9" t="n">
        <f aca="false">D14*E14</f>
        <v>3</v>
      </c>
      <c r="G14" s="8" t="s">
        <v>45</v>
      </c>
      <c r="H14" s="8" t="s">
        <v>46</v>
      </c>
    </row>
    <row r="15" customFormat="false" ht="21.75" hidden="false" customHeight="true" outlineLevel="0" collapsed="false">
      <c r="A15" s="14" t="s">
        <v>47</v>
      </c>
      <c r="B15" s="14"/>
      <c r="C15" s="14"/>
      <c r="D15" s="14"/>
      <c r="E15" s="14"/>
      <c r="F15" s="14"/>
      <c r="G15" s="14"/>
      <c r="H15" s="14"/>
    </row>
    <row r="16" customFormat="false" ht="36" hidden="false" customHeight="true" outlineLevel="0" collapsed="false">
      <c r="A16" s="15" t="n">
        <v>10</v>
      </c>
      <c r="B16" s="16" t="s">
        <v>48</v>
      </c>
      <c r="C16" s="17" t="s">
        <v>49</v>
      </c>
      <c r="D16" s="15" t="n">
        <v>1</v>
      </c>
      <c r="E16" s="18" t="n">
        <v>50</v>
      </c>
      <c r="F16" s="18" t="n">
        <f aca="false">D16*E16</f>
        <v>50</v>
      </c>
      <c r="G16" s="17" t="s">
        <v>50</v>
      </c>
      <c r="H16" s="17" t="s">
        <v>51</v>
      </c>
    </row>
    <row r="17" customFormat="false" ht="36" hidden="false" customHeight="true" outlineLevel="0" collapsed="false">
      <c r="A17" s="6" t="n">
        <v>11</v>
      </c>
      <c r="B17" s="7" t="s">
        <v>52</v>
      </c>
      <c r="C17" s="8" t="s">
        <v>53</v>
      </c>
      <c r="D17" s="6" t="n">
        <v>1</v>
      </c>
      <c r="E17" s="9" t="n">
        <v>30</v>
      </c>
      <c r="F17" s="9" t="n">
        <f aca="false">D17*E17</f>
        <v>30</v>
      </c>
      <c r="G17" s="8" t="s">
        <v>54</v>
      </c>
      <c r="H17" s="8" t="s">
        <v>55</v>
      </c>
    </row>
    <row r="18" customFormat="false" ht="36" hidden="false" customHeight="true" outlineLevel="0" collapsed="false">
      <c r="A18" s="15" t="n">
        <v>12</v>
      </c>
      <c r="B18" s="16" t="s">
        <v>56</v>
      </c>
      <c r="C18" s="17" t="s">
        <v>57</v>
      </c>
      <c r="D18" s="15" t="n">
        <v>1</v>
      </c>
      <c r="E18" s="18" t="n">
        <v>4</v>
      </c>
      <c r="F18" s="18" t="n">
        <f aca="false">D18*E18</f>
        <v>4</v>
      </c>
      <c r="G18" s="17" t="s">
        <v>58</v>
      </c>
      <c r="H18" s="17" t="s">
        <v>59</v>
      </c>
    </row>
    <row r="19" customFormat="false" ht="36" hidden="false" customHeight="true" outlineLevel="0" collapsed="false">
      <c r="A19" s="6" t="n">
        <v>13</v>
      </c>
      <c r="B19" s="7" t="s">
        <v>60</v>
      </c>
      <c r="C19" s="8" t="s">
        <v>61</v>
      </c>
      <c r="D19" s="6" t="n">
        <v>1</v>
      </c>
      <c r="E19" s="9" t="n">
        <v>10</v>
      </c>
      <c r="F19" s="9" t="n">
        <f aca="false">D19*E19</f>
        <v>10</v>
      </c>
      <c r="G19" s="8" t="s">
        <v>62</v>
      </c>
      <c r="H19" s="8" t="s">
        <v>63</v>
      </c>
    </row>
    <row r="20" customFormat="false" ht="36" hidden="false" customHeight="true" outlineLevel="0" collapsed="false">
      <c r="A20" s="15" t="n">
        <v>14</v>
      </c>
      <c r="B20" s="16" t="s">
        <v>64</v>
      </c>
      <c r="C20" s="17" t="s">
        <v>65</v>
      </c>
      <c r="D20" s="15" t="n">
        <v>1</v>
      </c>
      <c r="E20" s="18" t="n">
        <v>5</v>
      </c>
      <c r="F20" s="18" t="n">
        <f aca="false">D20*E20</f>
        <v>5</v>
      </c>
      <c r="G20" s="17" t="s">
        <v>66</v>
      </c>
      <c r="H20" s="17" t="s">
        <v>67</v>
      </c>
    </row>
    <row r="21" customFormat="false" ht="36" hidden="false" customHeight="true" outlineLevel="0" collapsed="false">
      <c r="A21" s="6" t="n">
        <v>15</v>
      </c>
      <c r="B21" s="7" t="s">
        <v>68</v>
      </c>
      <c r="C21" s="8" t="s">
        <v>69</v>
      </c>
      <c r="D21" s="6" t="n">
        <v>1</v>
      </c>
      <c r="E21" s="9" t="n">
        <v>5</v>
      </c>
      <c r="F21" s="9" t="n">
        <f aca="false">D21*E21</f>
        <v>5</v>
      </c>
      <c r="G21" s="8" t="s">
        <v>70</v>
      </c>
      <c r="H21" s="8" t="s">
        <v>71</v>
      </c>
    </row>
    <row r="22" customFormat="false" ht="21.75" hidden="false" customHeight="true" outlineLevel="0" collapsed="false">
      <c r="A22" s="19" t="s">
        <v>72</v>
      </c>
      <c r="B22" s="19"/>
      <c r="C22" s="19"/>
      <c r="D22" s="19"/>
      <c r="E22" s="19"/>
      <c r="F22" s="19"/>
      <c r="G22" s="19"/>
      <c r="H22" s="19"/>
    </row>
    <row r="23" customFormat="false" ht="36" hidden="false" customHeight="true" outlineLevel="0" collapsed="false">
      <c r="A23" s="20" t="n">
        <v>16</v>
      </c>
      <c r="B23" s="21" t="s">
        <v>73</v>
      </c>
      <c r="C23" s="22" t="s">
        <v>74</v>
      </c>
      <c r="D23" s="20" t="n">
        <v>4</v>
      </c>
      <c r="E23" s="23" t="n">
        <v>1.5</v>
      </c>
      <c r="F23" s="23" t="n">
        <f aca="false">D23*E23</f>
        <v>6</v>
      </c>
      <c r="G23" s="22" t="s">
        <v>75</v>
      </c>
      <c r="H23" s="22" t="s">
        <v>76</v>
      </c>
    </row>
    <row r="24" customFormat="false" ht="36" hidden="false" customHeight="true" outlineLevel="0" collapsed="false">
      <c r="A24" s="6" t="n">
        <v>17</v>
      </c>
      <c r="B24" s="7" t="s">
        <v>77</v>
      </c>
      <c r="C24" s="8" t="s">
        <v>78</v>
      </c>
      <c r="D24" s="6" t="n">
        <v>1</v>
      </c>
      <c r="E24" s="9" t="n">
        <v>3</v>
      </c>
      <c r="F24" s="9" t="n">
        <f aca="false">D24*E24</f>
        <v>3</v>
      </c>
      <c r="G24" s="8" t="s">
        <v>79</v>
      </c>
      <c r="H24" s="8" t="s">
        <v>80</v>
      </c>
    </row>
    <row r="25" customFormat="false" ht="36" hidden="false" customHeight="true" outlineLevel="0" collapsed="false">
      <c r="A25" s="20" t="n">
        <v>18</v>
      </c>
      <c r="B25" s="21" t="s">
        <v>81</v>
      </c>
      <c r="C25" s="22" t="s">
        <v>82</v>
      </c>
      <c r="D25" s="20" t="n">
        <v>2</v>
      </c>
      <c r="E25" s="23" t="n">
        <v>6</v>
      </c>
      <c r="F25" s="23" t="n">
        <f aca="false">D25*E25</f>
        <v>12</v>
      </c>
      <c r="G25" s="22" t="s">
        <v>83</v>
      </c>
      <c r="H25" s="22" t="s">
        <v>84</v>
      </c>
    </row>
    <row r="26" customFormat="false" ht="36" hidden="false" customHeight="true" outlineLevel="0" collapsed="false">
      <c r="A26" s="6" t="n">
        <v>19</v>
      </c>
      <c r="B26" s="7" t="s">
        <v>85</v>
      </c>
      <c r="C26" s="8" t="s">
        <v>86</v>
      </c>
      <c r="D26" s="6" t="n">
        <v>6</v>
      </c>
      <c r="E26" s="9" t="n">
        <v>0.5</v>
      </c>
      <c r="F26" s="9" t="n">
        <f aca="false">D26*E26</f>
        <v>3</v>
      </c>
      <c r="G26" s="8" t="s">
        <v>87</v>
      </c>
      <c r="H26" s="8" t="s">
        <v>88</v>
      </c>
    </row>
    <row r="27" customFormat="false" ht="36" hidden="false" customHeight="true" outlineLevel="0" collapsed="false">
      <c r="A27" s="20" t="n">
        <v>20</v>
      </c>
      <c r="B27" s="21" t="s">
        <v>89</v>
      </c>
      <c r="C27" s="22" t="s">
        <v>90</v>
      </c>
      <c r="D27" s="20" t="n">
        <v>8</v>
      </c>
      <c r="E27" s="23" t="n">
        <v>0.5</v>
      </c>
      <c r="F27" s="23" t="n">
        <f aca="false">D27*E27</f>
        <v>4</v>
      </c>
      <c r="G27" s="22" t="s">
        <v>91</v>
      </c>
      <c r="H27" s="22" t="s">
        <v>92</v>
      </c>
    </row>
    <row r="28" customFormat="false" ht="7.5" hidden="false" customHeight="true" outlineLevel="0" collapsed="false"/>
    <row r="29" customFormat="false" ht="27.75" hidden="false" customHeight="true" outlineLevel="0" collapsed="false">
      <c r="A29" s="24" t="s">
        <v>93</v>
      </c>
      <c r="B29" s="24"/>
      <c r="C29" s="24"/>
      <c r="D29" s="24"/>
      <c r="E29" s="24"/>
      <c r="F29" s="25" t="n">
        <f aca="false">SUM(F5:F28)</f>
        <v>207</v>
      </c>
      <c r="G29" s="26" t="s">
        <v>94</v>
      </c>
      <c r="H29" s="26"/>
    </row>
  </sheetData>
  <mergeCells count="7">
    <mergeCell ref="A1:H1"/>
    <mergeCell ref="A2:H2"/>
    <mergeCell ref="A5:H5"/>
    <mergeCell ref="A15:H15"/>
    <mergeCell ref="A22:H22"/>
    <mergeCell ref="A29:E29"/>
    <mergeCell ref="G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8"/>
    <col collapsed="false" customWidth="true" hidden="false" outlineLevel="0" max="4" min="4" style="1" width="45"/>
  </cols>
  <sheetData>
    <row r="1" customFormat="false" ht="27.75" hidden="false" customHeight="true" outlineLevel="0" collapsed="false">
      <c r="A1" s="27" t="s">
        <v>95</v>
      </c>
      <c r="B1" s="27" t="s">
        <v>96</v>
      </c>
      <c r="C1" s="27" t="s">
        <v>97</v>
      </c>
      <c r="D1" s="27" t="s">
        <v>98</v>
      </c>
    </row>
    <row r="2" customFormat="false" ht="24" hidden="false" customHeight="true" outlineLevel="0" collapsed="false">
      <c r="A2" s="11" t="s">
        <v>11</v>
      </c>
      <c r="B2" s="12" t="s">
        <v>13</v>
      </c>
      <c r="C2" s="12" t="s">
        <v>99</v>
      </c>
      <c r="D2" s="12" t="s">
        <v>100</v>
      </c>
    </row>
    <row r="3" customFormat="false" ht="24" hidden="false" customHeight="true" outlineLevel="0" collapsed="false">
      <c r="A3" s="7" t="s">
        <v>101</v>
      </c>
      <c r="B3" s="8" t="s">
        <v>102</v>
      </c>
      <c r="C3" s="8" t="s">
        <v>103</v>
      </c>
      <c r="D3" s="8" t="s">
        <v>104</v>
      </c>
    </row>
    <row r="4" customFormat="false" ht="24" hidden="false" customHeight="true" outlineLevel="0" collapsed="false">
      <c r="A4" s="11" t="s">
        <v>105</v>
      </c>
      <c r="B4" s="12" t="s">
        <v>106</v>
      </c>
      <c r="C4" s="12" t="s">
        <v>107</v>
      </c>
      <c r="D4" s="12" t="s">
        <v>108</v>
      </c>
    </row>
    <row r="5" customFormat="false" ht="24" hidden="false" customHeight="true" outlineLevel="0" collapsed="false">
      <c r="A5" s="7" t="s">
        <v>109</v>
      </c>
      <c r="B5" s="8" t="s">
        <v>110</v>
      </c>
      <c r="C5" s="8" t="s">
        <v>111</v>
      </c>
      <c r="D5" s="8" t="s">
        <v>112</v>
      </c>
    </row>
    <row r="6" customFormat="false" ht="24" hidden="false" customHeight="true" outlineLevel="0" collapsed="false">
      <c r="A6" s="11" t="s">
        <v>113</v>
      </c>
      <c r="B6" s="12" t="s">
        <v>114</v>
      </c>
      <c r="C6" s="12" t="s">
        <v>115</v>
      </c>
      <c r="D6" s="12" t="s">
        <v>116</v>
      </c>
    </row>
    <row r="7" customFormat="false" ht="24" hidden="false" customHeight="true" outlineLevel="0" collapsed="false">
      <c r="A7" s="7" t="s">
        <v>117</v>
      </c>
      <c r="B7" s="8" t="s">
        <v>118</v>
      </c>
      <c r="C7" s="8" t="s">
        <v>119</v>
      </c>
      <c r="D7" s="8" t="s">
        <v>120</v>
      </c>
    </row>
    <row r="8" customFormat="false" ht="24" hidden="false" customHeight="true" outlineLevel="0" collapsed="false">
      <c r="A8" s="11" t="s">
        <v>121</v>
      </c>
      <c r="B8" s="12" t="s">
        <v>122</v>
      </c>
      <c r="C8" s="12" t="s">
        <v>123</v>
      </c>
      <c r="D8" s="12" t="s">
        <v>124</v>
      </c>
    </row>
    <row r="9" customFormat="false" ht="24" hidden="false" customHeight="true" outlineLevel="0" collapsed="false">
      <c r="A9" s="7" t="s">
        <v>125</v>
      </c>
      <c r="B9" s="8" t="s">
        <v>126</v>
      </c>
      <c r="C9" s="8" t="s">
        <v>127</v>
      </c>
      <c r="D9" s="8" t="s">
        <v>128</v>
      </c>
    </row>
    <row r="10" customFormat="false" ht="24" hidden="false" customHeight="true" outlineLevel="0" collapsed="false"/>
    <row r="11" customFormat="false" ht="24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36" hidden="false" customHeight="true" outlineLevel="0" collapsed="false">
      <c r="A1" s="28" t="s">
        <v>129</v>
      </c>
      <c r="B1" s="28"/>
    </row>
    <row r="2" customFormat="false" ht="18" hidden="false" customHeight="true" outlineLevel="0" collapsed="false">
      <c r="A2" s="3" t="s">
        <v>130</v>
      </c>
      <c r="B2" s="3"/>
    </row>
    <row r="3" customFormat="false" ht="7.5" hidden="false" customHeight="true" outlineLevel="0" collapsed="false"/>
    <row r="4" customFormat="false" ht="21.75" hidden="false" customHeight="true" outlineLevel="0" collapsed="false">
      <c r="A4" s="29" t="s">
        <v>131</v>
      </c>
      <c r="B4" s="29"/>
    </row>
    <row r="5" customFormat="false" ht="39.75" hidden="false" customHeight="true" outlineLevel="0" collapsed="false">
      <c r="A5" s="30" t="s">
        <v>132</v>
      </c>
      <c r="B5" s="31" t="s">
        <v>133</v>
      </c>
    </row>
    <row r="6" customFormat="false" ht="49.5" hidden="false" customHeight="true" outlineLevel="0" collapsed="false">
      <c r="A6" s="30" t="s">
        <v>134</v>
      </c>
      <c r="B6" s="31" t="s">
        <v>135</v>
      </c>
    </row>
    <row r="7" customFormat="false" ht="24" hidden="false" customHeight="true" outlineLevel="0" collapsed="false">
      <c r="A7" s="30" t="s">
        <v>136</v>
      </c>
      <c r="B7" s="31" t="s">
        <v>137</v>
      </c>
    </row>
    <row r="8" customFormat="false" ht="19.5" hidden="false" customHeight="true" outlineLevel="0" collapsed="false">
      <c r="A8" s="30" t="s">
        <v>138</v>
      </c>
      <c r="B8" s="31" t="s">
        <v>139</v>
      </c>
    </row>
    <row r="9" customFormat="false" ht="7.5" hidden="false" customHeight="true" outlineLevel="0" collapsed="false"/>
    <row r="10" customFormat="false" ht="21.75" hidden="false" customHeight="true" outlineLevel="0" collapsed="false">
      <c r="A10" s="29" t="s">
        <v>140</v>
      </c>
      <c r="B10" s="29"/>
    </row>
    <row r="11" customFormat="false" ht="39.75" hidden="false" customHeight="true" outlineLevel="0" collapsed="false">
      <c r="A11" s="30" t="s">
        <v>141</v>
      </c>
      <c r="B11" s="31" t="s">
        <v>142</v>
      </c>
    </row>
    <row r="12" customFormat="false" ht="49.5" hidden="false" customHeight="true" outlineLevel="0" collapsed="false">
      <c r="A12" s="30" t="s">
        <v>143</v>
      </c>
      <c r="B12" s="31" t="s">
        <v>144</v>
      </c>
    </row>
    <row r="13" customFormat="false" ht="60" hidden="false" customHeight="true" outlineLevel="0" collapsed="false">
      <c r="A13" s="30" t="s">
        <v>145</v>
      </c>
      <c r="B13" s="31" t="s">
        <v>146</v>
      </c>
    </row>
    <row r="14" customFormat="false" ht="36" hidden="false" customHeight="true" outlineLevel="0" collapsed="false">
      <c r="A14" s="30" t="s">
        <v>147</v>
      </c>
      <c r="B14" s="31" t="s">
        <v>148</v>
      </c>
    </row>
    <row r="15" customFormat="false" ht="49.5" hidden="false" customHeight="true" outlineLevel="0" collapsed="false">
      <c r="A15" s="30" t="s">
        <v>149</v>
      </c>
      <c r="B15" s="31" t="s">
        <v>150</v>
      </c>
    </row>
    <row r="16" customFormat="false" ht="7.5" hidden="false" customHeight="true" outlineLevel="0" collapsed="false"/>
    <row r="17" customFormat="false" ht="21.75" hidden="false" customHeight="true" outlineLevel="0" collapsed="false">
      <c r="A17" s="29" t="s">
        <v>151</v>
      </c>
      <c r="B17" s="29"/>
    </row>
    <row r="18" customFormat="false" ht="39.75" hidden="false" customHeight="true" outlineLevel="0" collapsed="false">
      <c r="A18" s="30" t="s">
        <v>152</v>
      </c>
      <c r="B18" s="31" t="s">
        <v>153</v>
      </c>
    </row>
    <row r="19" customFormat="false" ht="49.5" hidden="false" customHeight="true" outlineLevel="0" collapsed="false">
      <c r="A19" s="30" t="s">
        <v>154</v>
      </c>
      <c r="B19" s="31" t="s">
        <v>155</v>
      </c>
    </row>
    <row r="20" customFormat="false" ht="49.5" hidden="false" customHeight="true" outlineLevel="0" collapsed="false">
      <c r="A20" s="30" t="s">
        <v>156</v>
      </c>
      <c r="B20" s="31" t="s">
        <v>157</v>
      </c>
    </row>
    <row r="21" customFormat="false" ht="54.75" hidden="false" customHeight="true" outlineLevel="0" collapsed="false">
      <c r="A21" s="30" t="s">
        <v>158</v>
      </c>
      <c r="B21" s="31" t="s">
        <v>159</v>
      </c>
    </row>
    <row r="22" customFormat="false" ht="60" hidden="false" customHeight="true" outlineLevel="0" collapsed="false">
      <c r="A22" s="30" t="s">
        <v>160</v>
      </c>
      <c r="B22" s="31" t="s">
        <v>161</v>
      </c>
    </row>
    <row r="23" customFormat="false" ht="39.75" hidden="false" customHeight="true" outlineLevel="0" collapsed="false">
      <c r="A23" s="30" t="s">
        <v>125</v>
      </c>
      <c r="B23" s="31" t="s">
        <v>162</v>
      </c>
    </row>
    <row r="24" customFormat="false" ht="7.5" hidden="false" customHeight="true" outlineLevel="0" collapsed="false"/>
    <row r="25" customFormat="false" ht="21.75" hidden="false" customHeight="true" outlineLevel="0" collapsed="false">
      <c r="A25" s="29" t="s">
        <v>163</v>
      </c>
      <c r="B25" s="29"/>
    </row>
    <row r="26" customFormat="false" ht="60" hidden="false" customHeight="true" outlineLevel="0" collapsed="false">
      <c r="A26" s="30" t="s">
        <v>164</v>
      </c>
      <c r="B26" s="31" t="s">
        <v>165</v>
      </c>
    </row>
    <row r="27" customFormat="false" ht="64.5" hidden="false" customHeight="true" outlineLevel="0" collapsed="false">
      <c r="A27" s="30" t="s">
        <v>166</v>
      </c>
      <c r="B27" s="31" t="s">
        <v>167</v>
      </c>
    </row>
    <row r="28" customFormat="false" ht="24" hidden="false" customHeight="true" outlineLevel="0" collapsed="false">
      <c r="A28" s="30" t="s">
        <v>168</v>
      </c>
      <c r="B28" s="31" t="s">
        <v>169</v>
      </c>
    </row>
    <row r="29" customFormat="false" ht="7.5" hidden="false" customHeight="true" outlineLevel="0" collapsed="false"/>
    <row r="30" customFormat="false" ht="21.75" hidden="false" customHeight="true" outlineLevel="0" collapsed="false">
      <c r="A30" s="32" t="s">
        <v>170</v>
      </c>
      <c r="B30" s="32"/>
    </row>
    <row r="31" customFormat="false" ht="36" hidden="false" customHeight="true" outlineLevel="0" collapsed="false">
      <c r="A31" s="30" t="s">
        <v>171</v>
      </c>
      <c r="B31" s="33" t="s">
        <v>172</v>
      </c>
    </row>
    <row r="32" customFormat="false" ht="60" hidden="false" customHeight="true" outlineLevel="0" collapsed="false">
      <c r="A32" s="30" t="s">
        <v>173</v>
      </c>
      <c r="B32" s="31" t="s">
        <v>174</v>
      </c>
    </row>
    <row r="33" customFormat="false" ht="39.75" hidden="false" customHeight="true" outlineLevel="0" collapsed="false">
      <c r="A33" s="30" t="s">
        <v>175</v>
      </c>
      <c r="B33" s="31" t="s">
        <v>176</v>
      </c>
    </row>
    <row r="34" customFormat="false" ht="39.75" hidden="false" customHeight="true" outlineLevel="0" collapsed="false">
      <c r="A34" s="30" t="s">
        <v>177</v>
      </c>
      <c r="B34" s="31" t="s">
        <v>178</v>
      </c>
    </row>
    <row r="35" customFormat="false" ht="39.75" hidden="false" customHeight="true" outlineLevel="0" collapsed="false">
      <c r="A35" s="30" t="s">
        <v>179</v>
      </c>
      <c r="B35" s="31" t="s">
        <v>180</v>
      </c>
    </row>
    <row r="36" customFormat="false" ht="7.5" hidden="false" customHeight="true" outlineLevel="0" collapsed="false"/>
    <row r="37" customFormat="false" ht="21.75" hidden="false" customHeight="true" outlineLevel="0" collapsed="false">
      <c r="A37" s="34" t="s">
        <v>181</v>
      </c>
      <c r="B37" s="34"/>
    </row>
    <row r="38" customFormat="false" ht="49.5" hidden="false" customHeight="true" outlineLevel="0" collapsed="false">
      <c r="A38" s="30" t="s">
        <v>182</v>
      </c>
      <c r="B38" s="35" t="s">
        <v>183</v>
      </c>
    </row>
    <row r="39" customFormat="false" ht="75" hidden="false" customHeight="true" outlineLevel="0" collapsed="false">
      <c r="A39" s="30" t="s">
        <v>184</v>
      </c>
      <c r="B39" s="35" t="s">
        <v>185</v>
      </c>
    </row>
    <row r="40" customFormat="false" ht="64.5" hidden="false" customHeight="true" outlineLevel="0" collapsed="false">
      <c r="A40" s="30" t="s">
        <v>186</v>
      </c>
      <c r="B40" s="35" t="s">
        <v>187</v>
      </c>
    </row>
    <row r="41" customFormat="false" ht="24" hidden="false" customHeight="true" outlineLevel="0" collapsed="false">
      <c r="A41" s="30" t="s">
        <v>188</v>
      </c>
      <c r="B41" s="35" t="s">
        <v>189</v>
      </c>
    </row>
    <row r="42" customFormat="false" ht="7.5" hidden="false" customHeight="true" outlineLevel="0" collapsed="false"/>
    <row r="43" customFormat="false" ht="21.75" hidden="false" customHeight="true" outlineLevel="0" collapsed="false">
      <c r="A43" s="36" t="s">
        <v>190</v>
      </c>
      <c r="B43" s="36"/>
    </row>
    <row r="44" customFormat="false" ht="36" hidden="false" customHeight="true" outlineLevel="0" collapsed="false">
      <c r="A44" s="30" t="s">
        <v>191</v>
      </c>
      <c r="B44" s="37" t="s">
        <v>192</v>
      </c>
    </row>
    <row r="45" customFormat="false" ht="36" hidden="false" customHeight="true" outlineLevel="0" collapsed="false">
      <c r="A45" s="30" t="s">
        <v>193</v>
      </c>
      <c r="B45" s="37" t="s">
        <v>194</v>
      </c>
    </row>
    <row r="46" customFormat="false" ht="36" hidden="false" customHeight="true" outlineLevel="0" collapsed="false">
      <c r="A46" s="30" t="s">
        <v>195</v>
      </c>
      <c r="B46" s="37" t="s">
        <v>196</v>
      </c>
    </row>
    <row r="47" customFormat="false" ht="36" hidden="false" customHeight="true" outlineLevel="0" collapsed="false">
      <c r="A47" s="30" t="s">
        <v>197</v>
      </c>
      <c r="B47" s="37" t="s">
        <v>198</v>
      </c>
    </row>
    <row r="48" customFormat="false" ht="36" hidden="false" customHeight="true" outlineLevel="0" collapsed="false">
      <c r="A48" s="30" t="s">
        <v>199</v>
      </c>
      <c r="B48" s="37" t="s">
        <v>200</v>
      </c>
    </row>
    <row r="49" customFormat="false" ht="36" hidden="false" customHeight="true" outlineLevel="0" collapsed="false">
      <c r="A49" s="30" t="s">
        <v>201</v>
      </c>
      <c r="B49" s="37" t="s">
        <v>202</v>
      </c>
    </row>
    <row r="50" customFormat="false" ht="36" hidden="false" customHeight="true" outlineLevel="0" collapsed="false">
      <c r="A50" s="30" t="s">
        <v>203</v>
      </c>
      <c r="B50" s="37" t="s">
        <v>204</v>
      </c>
    </row>
    <row r="51" customFormat="false" ht="36" hidden="false" customHeight="true" outlineLevel="0" collapsed="false">
      <c r="A51" s="30" t="s">
        <v>205</v>
      </c>
      <c r="B51" s="37" t="s">
        <v>206</v>
      </c>
    </row>
    <row r="52" customFormat="false" ht="7.5" hidden="false" customHeight="true" outlineLevel="0" collapsed="false"/>
    <row r="53" customFormat="false" ht="21.75" hidden="false" customHeight="true" outlineLevel="0" collapsed="false">
      <c r="A53" s="29" t="s">
        <v>207</v>
      </c>
      <c r="B53" s="29"/>
    </row>
    <row r="54" customFormat="false" ht="19.5" hidden="false" customHeight="true" outlineLevel="0" collapsed="false">
      <c r="A54" s="30" t="s">
        <v>208</v>
      </c>
      <c r="B54" s="31" t="s">
        <v>209</v>
      </c>
    </row>
    <row r="55" customFormat="false" ht="19.5" hidden="false" customHeight="true" outlineLevel="0" collapsed="false">
      <c r="A55" s="30" t="s">
        <v>210</v>
      </c>
      <c r="B55" s="31" t="s">
        <v>211</v>
      </c>
    </row>
    <row r="56" customFormat="false" ht="19.5" hidden="false" customHeight="true" outlineLevel="0" collapsed="false">
      <c r="A56" s="30" t="s">
        <v>212</v>
      </c>
      <c r="B56" s="31" t="s">
        <v>213</v>
      </c>
    </row>
    <row r="57" customFormat="false" ht="19.5" hidden="false" customHeight="true" outlineLevel="0" collapsed="false">
      <c r="A57" s="30" t="s">
        <v>214</v>
      </c>
      <c r="B57" s="31" t="s">
        <v>215</v>
      </c>
    </row>
    <row r="58" customFormat="false" ht="19.5" hidden="false" customHeight="true" outlineLevel="0" collapsed="false">
      <c r="A58" s="30" t="s">
        <v>216</v>
      </c>
      <c r="B58" s="31" t="s">
        <v>217</v>
      </c>
    </row>
    <row r="59" customFormat="false" ht="19.5" hidden="false" customHeight="true" outlineLevel="0" collapsed="false">
      <c r="A59" s="30" t="s">
        <v>218</v>
      </c>
      <c r="B59" s="31" t="s">
        <v>219</v>
      </c>
    </row>
    <row r="60" customFormat="false" ht="19.5" hidden="false" customHeight="true" outlineLevel="0" collapsed="false">
      <c r="A60" s="30" t="s">
        <v>220</v>
      </c>
      <c r="B60" s="31" t="s">
        <v>221</v>
      </c>
    </row>
    <row r="61" customFormat="false" ht="19.5" hidden="false" customHeight="true" outlineLevel="0" collapsed="false">
      <c r="A61" s="30" t="s">
        <v>222</v>
      </c>
      <c r="B61" s="31" t="s">
        <v>223</v>
      </c>
    </row>
    <row r="62" customFormat="false" ht="7.5" hidden="false" customHeight="true" outlineLevel="0" collapsed="false"/>
    <row r="63" customFormat="false" ht="19.5" hidden="false" customHeight="true" outlineLevel="0" collapsed="false">
      <c r="A63" s="38" t="s">
        <v>224</v>
      </c>
      <c r="B63" s="38"/>
    </row>
  </sheetData>
  <mergeCells count="11">
    <mergeCell ref="A1:B1"/>
    <mergeCell ref="A2:B2"/>
    <mergeCell ref="A4:B4"/>
    <mergeCell ref="A10:B10"/>
    <mergeCell ref="A17:B17"/>
    <mergeCell ref="A25:B25"/>
    <mergeCell ref="A30:B30"/>
    <mergeCell ref="A37:B37"/>
    <mergeCell ref="A43:B43"/>
    <mergeCell ref="A53:B53"/>
    <mergeCell ref="A63:B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2026-03-12T20:07:37Z</dcterms:created>
  <dc:creator>openpyxl</dc:creator>
  <dc:description/>
  <dc:language>en-US</dc:language>
  <cp:lastModifiedBy/>
  <dcterms:modified xsi:type="dcterms:W3CDTF">2026-03-12T20:11:51Z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